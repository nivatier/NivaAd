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1" l="1"/>
  <c r="H9" i="1" l="1"/>
  <c r="H8" i="1"/>
  <c r="H7" i="1"/>
  <c r="A5" i="1"/>
  <c r="A4" i="1"/>
  <c r="A9" i="1"/>
  <c r="A8" i="1"/>
  <c r="A7" i="1"/>
  <c r="A3" i="1"/>
</calcChain>
</file>

<file path=xl/sharedStrings.xml><?xml version="1.0" encoding="utf-8"?>
<sst xmlns="http://schemas.openxmlformats.org/spreadsheetml/2006/main" count="30" uniqueCount="25">
  <si>
    <t>Nano Banana (Gemini 2.5 Flash Image)</t>
  </si>
  <si>
    <t>Image</t>
  </si>
  <si>
    <t>kwaivgi/kling-v3.0-pro</t>
  </si>
  <si>
    <t>google/gemini-2.5-flash-image</t>
  </si>
  <si>
    <t>Model ID</t>
  </si>
  <si>
    <t>Video v3.0 Pro</t>
  </si>
  <si>
    <t>Video</t>
  </si>
  <si>
    <t>Cost per Generation</t>
  </si>
  <si>
    <t>Model Name</t>
  </si>
  <si>
    <t>Sl No.</t>
  </si>
  <si>
    <t>google/veo-3.1</t>
  </si>
  <si>
    <t>Veo 3.1</t>
  </si>
  <si>
    <t>GPT Image 1 Mini</t>
  </si>
  <si>
    <t>openai/gpt-image-1-mini</t>
  </si>
  <si>
    <t>Per Second Cost</t>
  </si>
  <si>
    <t>Duration in Seconds</t>
  </si>
  <si>
    <t>https://openrouter.ai/models</t>
  </si>
  <si>
    <t>Grok Imagine Video</t>
  </si>
  <si>
    <t>x-ai/grok-imagine-video</t>
  </si>
  <si>
    <t>Veo 3.1 Fast</t>
  </si>
  <si>
    <t>With Audio</t>
  </si>
  <si>
    <t>w/o Audio</t>
  </si>
  <si>
    <t>w Audio</t>
  </si>
  <si>
    <t>Gemini 2.5 Flash</t>
  </si>
  <si>
    <t>Gemini 3.1 Flash 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</si>
</sst>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8" formatCode="&quot;$&quot;#,##0.00_);[Red]\(&quot;$&quot;#,##0.00\)"/>
    <numFmt numFmtId="164" formatCode="&quot;$&quot;#,##0.0000_);[Red]\(&quot;$&quot;#,##0.0000\)"/>
    <numFmt numFmtId="165" formatCode="&quot;$&quot;#,##0.00000_);[Red]\(&quot;$&quot;#,##0.0000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8" fontId="0" fillId="2" borderId="0" xfId="0" applyNumberFormat="1" applyFill="1" applyAlignment="1">
      <alignment horizontal="center" vertical="center" wrapText="1"/>
    </xf>
    <xf numFmtId="8" fontId="1" fillId="3" borderId="0" xfId="0" applyNumberFormat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0" xfId="0" applyNumberFormat="1" applyFont="1" applyFill="1" applyAlignment="1">
      <alignment horizontal="center" vertical="center" wrapText="1"/>
    </xf>
    <xf numFmtId="0" fontId="0" fillId="2" borderId="0" xfId="0" applyNumberFormat="1" applyFill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 wrapText="1"/>
    </xf>
    <xf numFmtId="164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tabSelected="1" workbookViewId="0">
      <pane ySplit="2" topLeftCell="A3" activePane="bottomLeft" state="frozen"/>
      <selection pane="bottomLeft" activeCell="J20" sqref="J20"/>
    </sheetView>
  </sheetViews>
  <sheetFormatPr defaultRowHeight="15" x14ac:dyDescent="0.25"/>
  <cols>
    <col min="1" max="2" width="9.140625" style="1"/>
    <col min="3" max="3" width="35.5703125" style="1" bestFit="1" customWidth="1"/>
    <col min="4" max="4" width="14.7109375" style="1" customWidth="1"/>
    <col min="5" max="5" width="35.5703125" style="1" customWidth="1"/>
    <col min="6" max="6" width="15.140625" style="1" customWidth="1"/>
    <col min="7" max="7" width="15.140625" style="9" customWidth="1"/>
    <col min="8" max="8" width="11" style="2" customWidth="1"/>
    <col min="9" max="16384" width="9.140625" style="1"/>
  </cols>
  <sheetData>
    <row r="1" spans="1:11" ht="30" x14ac:dyDescent="0.25">
      <c r="A1" s="6" t="s">
        <v>9</v>
      </c>
      <c r="B1" s="6"/>
      <c r="C1" s="6" t="s">
        <v>8</v>
      </c>
      <c r="D1" s="6" t="s">
        <v>20</v>
      </c>
      <c r="E1" s="6" t="s">
        <v>4</v>
      </c>
      <c r="F1" s="5" t="s">
        <v>7</v>
      </c>
      <c r="G1" s="7" t="s">
        <v>15</v>
      </c>
      <c r="H1" s="10" t="s">
        <v>14</v>
      </c>
      <c r="K1" s="1" t="s">
        <v>16</v>
      </c>
    </row>
    <row r="2" spans="1:11" x14ac:dyDescent="0.25">
      <c r="A2" s="3"/>
      <c r="B2" s="3"/>
      <c r="C2" s="3"/>
      <c r="D2" s="3"/>
      <c r="E2" s="3"/>
      <c r="F2" s="4"/>
      <c r="G2" s="8"/>
      <c r="H2" s="11"/>
    </row>
    <row r="3" spans="1:11" x14ac:dyDescent="0.25">
      <c r="A3" s="1">
        <f>ROW()-2</f>
        <v>1</v>
      </c>
      <c r="B3" s="1" t="s">
        <v>1</v>
      </c>
      <c r="C3" s="1" t="s">
        <v>12</v>
      </c>
      <c r="E3" s="1" t="s">
        <v>13</v>
      </c>
      <c r="F3" s="13">
        <v>1.43E-2</v>
      </c>
    </row>
    <row r="4" spans="1:11" x14ac:dyDescent="0.25">
      <c r="A4" s="1">
        <f>ROW()-2</f>
        <v>2</v>
      </c>
      <c r="B4" s="1" t="s">
        <v>1</v>
      </c>
      <c r="C4" s="1" t="s">
        <v>0</v>
      </c>
      <c r="E4" s="1" t="s">
        <v>3</v>
      </c>
      <c r="F4" s="13">
        <v>3.9300000000000002E-2</v>
      </c>
    </row>
    <row r="5" spans="1:11" x14ac:dyDescent="0.25">
      <c r="A5" s="1">
        <f>ROW()-2</f>
        <v>3</v>
      </c>
      <c r="B5" s="1" t="s">
        <v>1</v>
      </c>
      <c r="C5" s="12" t="s">
        <v>23</v>
      </c>
      <c r="F5" s="13">
        <v>1.09E-3</v>
      </c>
    </row>
    <row r="6" spans="1:11" x14ac:dyDescent="0.25">
      <c r="C6" s="12" t="s">
        <v>24</v>
      </c>
      <c r="F6" s="13">
        <v>6.8000000000000005E-2</v>
      </c>
    </row>
    <row r="7" spans="1:11" x14ac:dyDescent="0.25">
      <c r="A7" s="1">
        <f t="shared" ref="A7:A9" si="0">ROW()-2</f>
        <v>5</v>
      </c>
      <c r="B7" s="1" t="s">
        <v>6</v>
      </c>
      <c r="C7" s="1" t="s">
        <v>5</v>
      </c>
      <c r="E7" s="1" t="s">
        <v>2</v>
      </c>
      <c r="F7" s="13">
        <v>2.52</v>
      </c>
      <c r="G7" s="9">
        <v>15</v>
      </c>
      <c r="H7" s="2">
        <f>F7/G7</f>
        <v>0.16800000000000001</v>
      </c>
    </row>
    <row r="8" spans="1:11" x14ac:dyDescent="0.25">
      <c r="A8" s="1">
        <f t="shared" si="0"/>
        <v>6</v>
      </c>
      <c r="B8" s="1" t="s">
        <v>6</v>
      </c>
      <c r="C8" s="1" t="s">
        <v>11</v>
      </c>
      <c r="E8" s="1" t="s">
        <v>10</v>
      </c>
      <c r="F8" s="13">
        <v>3.2</v>
      </c>
      <c r="G8" s="9">
        <v>8</v>
      </c>
      <c r="H8" s="2">
        <f t="shared" ref="H8:H10" si="1">F8/G8</f>
        <v>0.4</v>
      </c>
    </row>
    <row r="9" spans="1:11" x14ac:dyDescent="0.25">
      <c r="A9" s="1">
        <f t="shared" si="0"/>
        <v>7</v>
      </c>
      <c r="B9" s="1" t="s">
        <v>6</v>
      </c>
      <c r="C9" s="1" t="s">
        <v>17</v>
      </c>
      <c r="D9" s="1" t="s">
        <v>22</v>
      </c>
      <c r="E9" s="1" t="s">
        <v>18</v>
      </c>
      <c r="F9" s="13">
        <v>0.752</v>
      </c>
      <c r="G9" s="9">
        <v>15</v>
      </c>
      <c r="H9" s="2">
        <f t="shared" si="1"/>
        <v>5.0133333333333335E-2</v>
      </c>
    </row>
    <row r="10" spans="1:11" x14ac:dyDescent="0.25">
      <c r="B10" s="1" t="s">
        <v>6</v>
      </c>
      <c r="C10" s="1" t="s">
        <v>19</v>
      </c>
      <c r="D10" s="1" t="s">
        <v>21</v>
      </c>
      <c r="F10" s="13">
        <v>0.64</v>
      </c>
      <c r="G10" s="9">
        <v>8</v>
      </c>
      <c r="H10" s="2">
        <f t="shared" si="1"/>
        <v>0.08</v>
      </c>
    </row>
    <row r="11" spans="1:11" x14ac:dyDescent="0.25">
      <c r="F11" s="2"/>
    </row>
    <row r="12" spans="1:11" x14ac:dyDescent="0.25">
      <c r="F12" s="2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2026-07-16T12:21:56Z</dcterms:modified>
</cp:coreProperties>
</file>
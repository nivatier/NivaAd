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7" i="1"/>
  <c r="G6" i="1"/>
  <c r="A5" i="1"/>
  <c r="A4" i="1"/>
  <c r="A8" i="1"/>
  <c r="A7" i="1"/>
  <c r="A6" i="1"/>
  <c r="A3" i="1"/>
</calcChain>
</file>

<file path=xl/sharedStrings.xml><?xml version="1.0" encoding="utf-8"?>
<sst xmlns="http://schemas.openxmlformats.org/spreadsheetml/2006/main" count="23" uniqueCount="19">
  <si>
    <t>Nano Banana (Gemini 2.5 Flash Image)</t>
  </si>
  <si>
    <t>Image</t>
  </si>
  <si>
    <t>kwaivgi/kling-v3.0-pro</t>
  </si>
  <si>
    <t>google/gemini-2.5-flash-image</t>
  </si>
  <si>
    <t>Model ID</t>
  </si>
  <si>
    <t>Video v3.0 Pro</t>
  </si>
  <si>
    <t>Video</t>
  </si>
  <si>
    <t>Cost per Generation</t>
  </si>
  <si>
    <t>Model Name</t>
  </si>
  <si>
    <t>Sl No.</t>
  </si>
  <si>
    <t>google/veo-3.1</t>
  </si>
  <si>
    <t>Veo 3.1</t>
  </si>
  <si>
    <t>GPT Image 1 Mini</t>
  </si>
  <si>
    <t>openai/gpt-image-1-mini</t>
  </si>
  <si>
    <t>Per Second Cost</t>
  </si>
  <si>
    <t>Duration in Seconds</t>
  </si>
  <si>
    <t>https://openrouter.ai/models</t>
  </si>
  <si>
    <t>Grok Imagine Video</t>
  </si>
  <si>
    <t>x-ai/grok-imagine-video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</si>
</sst>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&quot;$&quot;#,##0.0000_);[Red]\(&quot;$&quot;#,##0.00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8" fontId="0" fillId="2" borderId="0" xfId="0" applyNumberFormat="1" applyFill="1" applyAlignment="1">
      <alignment horizontal="center" vertical="center" wrapText="1"/>
    </xf>
    <xf numFmtId="8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NumberFormat="1" applyFon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pane ySplit="2" topLeftCell="A3" activePane="bottomLeft" state="frozen"/>
      <selection pane="bottomLeft" activeCell="F12" sqref="F12"/>
    </sheetView>
  </sheetViews>
  <sheetFormatPr defaultRowHeight="15" x14ac:dyDescent="0.25"/>
  <cols>
    <col min="1" max="2" width="9.140625" style="1"/>
    <col min="3" max="3" width="35.5703125" style="1" bestFit="1" customWidth="1"/>
    <col min="4" max="4" width="35.5703125" style="1" customWidth="1"/>
    <col min="5" max="5" width="15.140625" style="1" customWidth="1"/>
    <col min="6" max="6" width="15.140625" style="9" customWidth="1"/>
    <col min="7" max="7" width="11" style="2" customWidth="1"/>
    <col min="8" max="16384" width="9.140625" style="1"/>
  </cols>
  <sheetData>
    <row r="1" spans="1:10" ht="30" x14ac:dyDescent="0.25">
      <c r="A1" s="6" t="s">
        <v>9</v>
      </c>
      <c r="B1" s="6"/>
      <c r="C1" s="6" t="s">
        <v>8</v>
      </c>
      <c r="D1" s="6" t="s">
        <v>4</v>
      </c>
      <c r="E1" s="5" t="s">
        <v>7</v>
      </c>
      <c r="F1" s="7" t="s">
        <v>15</v>
      </c>
      <c r="G1" s="10" t="s">
        <v>14</v>
      </c>
      <c r="J1" s="1" t="s">
        <v>16</v>
      </c>
    </row>
    <row r="2" spans="1:10" x14ac:dyDescent="0.25">
      <c r="A2" s="3"/>
      <c r="B2" s="3"/>
      <c r="C2" s="3"/>
      <c r="D2" s="3"/>
      <c r="E2" s="4"/>
      <c r="F2" s="8"/>
      <c r="G2" s="11"/>
    </row>
    <row r="3" spans="1:10" x14ac:dyDescent="0.25">
      <c r="A3" s="1">
        <f>ROW()-2</f>
        <v>1</v>
      </c>
      <c r="B3" s="1" t="s">
        <v>1</v>
      </c>
      <c r="C3" s="1" t="s">
        <v>12</v>
      </c>
      <c r="D3" s="1" t="s">
        <v>13</v>
      </c>
      <c r="E3" s="2">
        <v>1.43E-2</v>
      </c>
    </row>
    <row r="4" spans="1:10" x14ac:dyDescent="0.25">
      <c r="A4" s="1">
        <f>ROW()-2</f>
        <v>2</v>
      </c>
      <c r="B4" s="1" t="s">
        <v>1</v>
      </c>
      <c r="C4" s="1" t="s">
        <v>0</v>
      </c>
      <c r="D4" s="1" t="s">
        <v>3</v>
      </c>
      <c r="E4" s="2">
        <v>3.9300000000000002E-2</v>
      </c>
    </row>
    <row r="5" spans="1:10" x14ac:dyDescent="0.25">
      <c r="A5" s="1">
        <f>ROW()-2</f>
        <v>3</v>
      </c>
      <c r="B5" s="1" t="s">
        <v>1</v>
      </c>
      <c r="E5" s="2"/>
    </row>
    <row r="6" spans="1:10" x14ac:dyDescent="0.25">
      <c r="A6" s="1">
        <f t="shared" ref="A6:A8" si="0">ROW()-2</f>
        <v>4</v>
      </c>
      <c r="B6" s="1" t="s">
        <v>6</v>
      </c>
      <c r="C6" s="1" t="s">
        <v>5</v>
      </c>
      <c r="D6" s="1" t="s">
        <v>2</v>
      </c>
      <c r="E6" s="2">
        <v>2.52</v>
      </c>
      <c r="F6" s="9">
        <v>15</v>
      </c>
      <c r="G6" s="2">
        <f>E6/F6</f>
        <v>0.16800000000000001</v>
      </c>
    </row>
    <row r="7" spans="1:10" x14ac:dyDescent="0.25">
      <c r="A7" s="1">
        <f t="shared" si="0"/>
        <v>5</v>
      </c>
      <c r="B7" s="1" t="s">
        <v>6</v>
      </c>
      <c r="C7" s="1" t="s">
        <v>11</v>
      </c>
      <c r="D7" s="1" t="s">
        <v>10</v>
      </c>
      <c r="E7" s="2">
        <v>2.4</v>
      </c>
      <c r="F7" s="9">
        <v>15</v>
      </c>
      <c r="G7" s="2">
        <f t="shared" ref="G7:G8" si="1">E7/F7</f>
        <v>0.16</v>
      </c>
    </row>
    <row r="8" spans="1:10" x14ac:dyDescent="0.25">
      <c r="A8" s="1">
        <f t="shared" si="0"/>
        <v>6</v>
      </c>
      <c r="B8" s="1" t="s">
        <v>6</v>
      </c>
      <c r="C8" s="1" t="s">
        <v>17</v>
      </c>
      <c r="D8" s="1" t="s">
        <v>18</v>
      </c>
      <c r="E8" s="2">
        <v>0.752</v>
      </c>
      <c r="F8" s="9">
        <v>15</v>
      </c>
      <c r="G8" s="2">
        <f t="shared" si="1"/>
        <v>5.0133333333333335E-2</v>
      </c>
    </row>
    <row r="9" spans="1:10" x14ac:dyDescent="0.25">
      <c r="E9" s="2"/>
    </row>
    <row r="10" spans="1:10" x14ac:dyDescent="0.25">
      <c r="E10" s="2"/>
    </row>
    <row r="11" spans="1:10" x14ac:dyDescent="0.25">
      <c r="E11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2026-07-13T13:37:44Z</dcterms:modified>
</cp:coreProperties>
</file>